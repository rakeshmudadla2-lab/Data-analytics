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istrator\Downloads\"/>
    </mc:Choice>
  </mc:AlternateContent>
  <bookViews>
    <workbookView xWindow="0" yWindow="0" windowWidth="16725" windowHeight="7755" activeTab="1"/>
  </bookViews>
  <sheets>
    <sheet name="Sheet3" sheetId="3" r:id="rId1"/>
    <sheet name="Sheet4" sheetId="4" r:id="rId2"/>
    <sheet name="Sheet1" sheetId="1" r:id="rId3"/>
    <sheet name="Sheet2" sheetId="2" r:id="rId4"/>
  </sheets>
  <definedNames>
    <definedName name="Slicer_Actual_Amount">#N/A</definedName>
    <definedName name="Slicer_Category">#N/A</definedName>
    <definedName name="Slicer_Month">#N/A</definedName>
  </definedNames>
  <calcPr calcId="152511"/>
  <pivotCaches>
    <pivotCache cacheId="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 i="2" l="1"/>
  <c r="E4" i="2"/>
  <c r="E5" i="2"/>
  <c r="E6" i="2"/>
  <c r="E7" i="2"/>
  <c r="E8" i="2"/>
  <c r="E9" i="2"/>
  <c r="E10" i="2"/>
  <c r="E11" i="2"/>
  <c r="E12" i="2"/>
  <c r="E13" i="2"/>
  <c r="E2" i="2"/>
  <c r="D3" i="2"/>
  <c r="D4" i="2"/>
  <c r="D5" i="2"/>
  <c r="D6" i="2"/>
  <c r="D7" i="2"/>
  <c r="D8" i="2"/>
  <c r="D9" i="2"/>
  <c r="D10" i="2"/>
  <c r="D11" i="2"/>
  <c r="D12" i="2"/>
  <c r="D13" i="2"/>
  <c r="D2" i="2"/>
  <c r="F3" i="1"/>
  <c r="F4" i="1"/>
  <c r="F5" i="1"/>
  <c r="F6" i="1"/>
  <c r="F7" i="1"/>
  <c r="F8" i="1"/>
  <c r="F9" i="1"/>
  <c r="F10" i="1"/>
  <c r="F11" i="1"/>
  <c r="F12" i="1"/>
  <c r="F13" i="1"/>
  <c r="F2" i="1"/>
</calcChain>
</file>

<file path=xl/sharedStrings.xml><?xml version="1.0" encoding="utf-8"?>
<sst xmlns="http://schemas.openxmlformats.org/spreadsheetml/2006/main" count="92" uniqueCount="49">
  <si>
    <t>Date</t>
  </si>
  <si>
    <t>Category</t>
  </si>
  <si>
    <t>Rent</t>
  </si>
  <si>
    <t>Food</t>
  </si>
  <si>
    <t>Transport</t>
  </si>
  <si>
    <t>Entertainment</t>
  </si>
  <si>
    <t>Savings</t>
  </si>
  <si>
    <t>Shopping</t>
  </si>
  <si>
    <t>Education</t>
  </si>
  <si>
    <t>Utilities</t>
  </si>
  <si>
    <t>Health care</t>
  </si>
  <si>
    <t>Freelance</t>
  </si>
  <si>
    <t>Salary</t>
  </si>
  <si>
    <t>Type</t>
  </si>
  <si>
    <t>Expense</t>
  </si>
  <si>
    <t>Income</t>
  </si>
  <si>
    <t>Description</t>
  </si>
  <si>
    <t>House rent</t>
  </si>
  <si>
    <t>Groceries</t>
  </si>
  <si>
    <t>Taxi</t>
  </si>
  <si>
    <t>Movie night</t>
  </si>
  <si>
    <t>Monthly deposit</t>
  </si>
  <si>
    <t>RD/SIP invester</t>
  </si>
  <si>
    <t>Clothing</t>
  </si>
  <si>
    <t>Online course</t>
  </si>
  <si>
    <t>Electricity bill</t>
  </si>
  <si>
    <t>Medical checkup</t>
  </si>
  <si>
    <t>Freelance project</t>
  </si>
  <si>
    <t>Salary credit</t>
  </si>
  <si>
    <t>Actual Amount</t>
  </si>
  <si>
    <t>Month</t>
  </si>
  <si>
    <t>Monthly Budget</t>
  </si>
  <si>
    <t>Actual Spent</t>
  </si>
  <si>
    <t>Remaining</t>
  </si>
  <si>
    <t>January</t>
  </si>
  <si>
    <t>February</t>
  </si>
  <si>
    <t>March</t>
  </si>
  <si>
    <t>April</t>
  </si>
  <si>
    <t>Row Labels</t>
  </si>
  <si>
    <t>Grand Total</t>
  </si>
  <si>
    <t>Sum of Actual Amount</t>
  </si>
  <si>
    <t>August</t>
  </si>
  <si>
    <t>November</t>
  </si>
  <si>
    <t>October</t>
  </si>
  <si>
    <t>December</t>
  </si>
  <si>
    <t>May</t>
  </si>
  <si>
    <t>June</t>
  </si>
  <si>
    <t>July</t>
  </si>
  <si>
    <t>September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</si>
</sst>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[SUMIYA.xlsx]Sheet3!PivotTable1</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cat>
            <c:strRef>
              <c:f>Sheet3!$A$4:$A$15</c:f>
              <c:strCache>
                <c:ptCount val="11"/>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strCache>
            </c:strRef>
          </c:cat>
          <c:val>
            <c:numRef>
              <c:f>Sheet3!$B$4:$B$15</c:f>
              <c:numCache>
                <c:formatCode>General</c:formatCode>
                <c:ptCount val="11"/>
                <c:pt idx="0">
                  <c:v>1500</c:v>
                </c:pt>
                <c:pt idx="1">
                  <c:v>500</c:v>
                </c:pt>
                <c:pt idx="2">
                  <c:v>1500</c:v>
                </c:pt>
                <c:pt idx="3">
                  <c:v>6000</c:v>
                </c:pt>
                <c:pt idx="4">
                  <c:v>900</c:v>
                </c:pt>
                <c:pt idx="5">
                  <c:v>4500</c:v>
                </c:pt>
                <c:pt idx="6">
                  <c:v>40000</c:v>
                </c:pt>
                <c:pt idx="7">
                  <c:v>2000</c:v>
                </c:pt>
                <c:pt idx="8">
                  <c:v>2000</c:v>
                </c:pt>
                <c:pt idx="9">
                  <c:v>500</c:v>
                </c:pt>
                <c:pt idx="10">
                  <c:v>700</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[SUMIYA.xlsx]Sheet3!PivotTable2</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Sheet3!$E$3</c:f>
              <c:strCache>
                <c:ptCount val="1"/>
                <c:pt idx="0">
                  <c:v>Total</c:v>
                </c:pt>
              </c:strCache>
            </c:strRef>
          </c:tx>
          <c:spPr>
            <a:solidFill>
              <a:schemeClr val="accent1"/>
            </a:solidFill>
            <a:ln>
              <a:noFill/>
            </a:ln>
            <a:effectLst/>
          </c:spPr>
          <c:invertIfNegative val="0"/>
          <c:cat>
            <c:strRef>
              <c:f>Sheet3!$D$4:$D$16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Sheet3!$E$4:$E$16</c:f>
              <c:numCache>
                <c:formatCode>General</c:formatCode>
                <c:ptCount val="12"/>
                <c:pt idx="0">
                  <c:v>4500</c:v>
                </c:pt>
                <c:pt idx="1">
                  <c:v>1500</c:v>
                </c:pt>
                <c:pt idx="2">
                  <c:v>500</c:v>
                </c:pt>
                <c:pt idx="3">
                  <c:v>500</c:v>
                </c:pt>
                <c:pt idx="4">
                  <c:v>1000</c:v>
                </c:pt>
                <c:pt idx="5">
                  <c:v>1000</c:v>
                </c:pt>
                <c:pt idx="6">
                  <c:v>2000</c:v>
                </c:pt>
                <c:pt idx="7">
                  <c:v>1500</c:v>
                </c:pt>
                <c:pt idx="8">
                  <c:v>700</c:v>
                </c:pt>
                <c:pt idx="9">
                  <c:v>900</c:v>
                </c:pt>
                <c:pt idx="10">
                  <c:v>6000</c:v>
                </c:pt>
                <c:pt idx="11">
                  <c:v>40000</c:v>
                </c:pt>
              </c:numCache>
            </c:numRef>
          </c:val>
        </c:ser>
        <c:dLbls>
          <c:showLegendKey val="0"/>
          <c:showVal val="0"/>
          <c:showCatName val="0"/>
          <c:showSerName val="0"/>
          <c:showPercent val="0"/>
          <c:showBubbleSize val="0"/>
        </c:dLbls>
        <c:gapWidth val="150"/>
        <c:overlap val="100"/>
        <c:axId val="305051792"/>
        <c:axId val="305049832"/>
      </c:barChart>
      <c:catAx>
        <c:axId val="30505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049832"/>
        <c:crosses val="autoZero"/>
        <c:auto val="1"/>
        <c:lblAlgn val="ctr"/>
        <c:lblOffset val="100"/>
        <c:noMultiLvlLbl val="0"/>
      </c:catAx>
      <c:valAx>
        <c:axId val="305049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0517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[SUMIYA.xlsx]Sheet3!PivotTable3</c:name>
    <c:fmtId val="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Sheet3!$I$3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Sheet3!$H$4:$H$16</c:f>
              <c:strCache>
                <c:ptCount val="12"/>
                <c:pt idx="0">
                  <c:v>01-01-2025</c:v>
                </c:pt>
                <c:pt idx="1">
                  <c:v>01-02-2025</c:v>
                </c:pt>
                <c:pt idx="2">
                  <c:v>01-03-2025</c:v>
                </c:pt>
                <c:pt idx="3">
                  <c:v>01-04-2025</c:v>
                </c:pt>
                <c:pt idx="4">
                  <c:v>01-05-2025</c:v>
                </c:pt>
                <c:pt idx="5">
                  <c:v>01-06-2025</c:v>
                </c:pt>
                <c:pt idx="6">
                  <c:v>01-07-2025</c:v>
                </c:pt>
                <c:pt idx="7">
                  <c:v>01-08-2025</c:v>
                </c:pt>
                <c:pt idx="8">
                  <c:v>01-09-2025</c:v>
                </c:pt>
                <c:pt idx="9">
                  <c:v>01-10-2025</c:v>
                </c:pt>
                <c:pt idx="10">
                  <c:v>01-11-2025</c:v>
                </c:pt>
                <c:pt idx="11">
                  <c:v>01-12-2025</c:v>
                </c:pt>
              </c:strCache>
            </c:strRef>
          </c:cat>
          <c:val>
            <c:numRef>
              <c:f>Sheet3!$I$4:$I$16</c:f>
              <c:numCache>
                <c:formatCode>General</c:formatCode>
                <c:ptCount val="12"/>
                <c:pt idx="0">
                  <c:v>4500</c:v>
                </c:pt>
                <c:pt idx="1">
                  <c:v>1500</c:v>
                </c:pt>
                <c:pt idx="2">
                  <c:v>500</c:v>
                </c:pt>
                <c:pt idx="3">
                  <c:v>500</c:v>
                </c:pt>
                <c:pt idx="4">
                  <c:v>1000</c:v>
                </c:pt>
                <c:pt idx="5">
                  <c:v>1000</c:v>
                </c:pt>
                <c:pt idx="6">
                  <c:v>2000</c:v>
                </c:pt>
                <c:pt idx="7">
                  <c:v>1500</c:v>
                </c:pt>
                <c:pt idx="8">
                  <c:v>700</c:v>
                </c:pt>
                <c:pt idx="9">
                  <c:v>900</c:v>
                </c:pt>
                <c:pt idx="10">
                  <c:v>6000</c:v>
                </c:pt>
                <c:pt idx="11">
                  <c:v>40000</c:v>
                </c:pt>
              </c:numCache>
            </c:numRef>
          </c:val>
          <c:smooth val="0"/>
        </c:ser>
        <c:dLbls>
          <c:showLegendKey val="0"/>
          <c:showVal val="0"/>
          <c:showCatName val="0"/>
          <c:showSerName val="0"/>
          <c:showPercent val="0"/>
          <c:showBubbleSize val="0"/>
        </c:dLbls>
        <c:marker val="1"/>
        <c:smooth val="0"/>
        <c:axId val="383591864"/>
        <c:axId val="383592648"/>
      </c:lineChart>
      <c:catAx>
        <c:axId val="383591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592648"/>
        <c:crosses val="autoZero"/>
        <c:auto val="1"/>
        <c:lblAlgn val="ctr"/>
        <c:lblOffset val="100"/>
        <c:noMultiLvlLbl val="0"/>
      </c:catAx>
      <c:valAx>
        <c:axId val="383592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591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[SUMIYA.xlsx]Sheet3!PivotTable1</c:name>
    <c:fmtId val="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cat>
            <c:strRef>
              <c:f>Sheet3!$A$4:$A$15</c:f>
              <c:strCache>
                <c:ptCount val="11"/>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strCache>
            </c:strRef>
          </c:cat>
          <c:val>
            <c:numRef>
              <c:f>Sheet3!$B$4:$B$15</c:f>
              <c:numCache>
                <c:formatCode>General</c:formatCode>
                <c:ptCount val="11"/>
                <c:pt idx="0">
                  <c:v>1500</c:v>
                </c:pt>
                <c:pt idx="1">
                  <c:v>500</c:v>
                </c:pt>
                <c:pt idx="2">
                  <c:v>1500</c:v>
                </c:pt>
                <c:pt idx="3">
                  <c:v>6000</c:v>
                </c:pt>
                <c:pt idx="4">
                  <c:v>900</c:v>
                </c:pt>
                <c:pt idx="5">
                  <c:v>4500</c:v>
                </c:pt>
                <c:pt idx="6">
                  <c:v>40000</c:v>
                </c:pt>
                <c:pt idx="7">
                  <c:v>2000</c:v>
                </c:pt>
                <c:pt idx="8">
                  <c:v>2000</c:v>
                </c:pt>
                <c:pt idx="9">
                  <c:v>500</c:v>
                </c:pt>
                <c:pt idx="10">
                  <c:v>700</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[SUMIYA.xlsx]Sheet3!PivotTable2</c:name>
    <c:fmtId val="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Sheet3!$E$3</c:f>
              <c:strCache>
                <c:ptCount val="1"/>
                <c:pt idx="0">
                  <c:v>Total</c:v>
                </c:pt>
              </c:strCache>
            </c:strRef>
          </c:tx>
          <c:spPr>
            <a:solidFill>
              <a:schemeClr val="accent1"/>
            </a:solidFill>
            <a:ln>
              <a:noFill/>
            </a:ln>
            <a:effectLst/>
          </c:spPr>
          <c:invertIfNegative val="0"/>
          <c:cat>
            <c:strRef>
              <c:f>Sheet3!$D$4:$D$16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Sheet3!$E$4:$E$16</c:f>
              <c:numCache>
                <c:formatCode>General</c:formatCode>
                <c:ptCount val="12"/>
                <c:pt idx="0">
                  <c:v>4500</c:v>
                </c:pt>
                <c:pt idx="1">
                  <c:v>1500</c:v>
                </c:pt>
                <c:pt idx="2">
                  <c:v>500</c:v>
                </c:pt>
                <c:pt idx="3">
                  <c:v>500</c:v>
                </c:pt>
                <c:pt idx="4">
                  <c:v>1000</c:v>
                </c:pt>
                <c:pt idx="5">
                  <c:v>1000</c:v>
                </c:pt>
                <c:pt idx="6">
                  <c:v>2000</c:v>
                </c:pt>
                <c:pt idx="7">
                  <c:v>1500</c:v>
                </c:pt>
                <c:pt idx="8">
                  <c:v>700</c:v>
                </c:pt>
                <c:pt idx="9">
                  <c:v>900</c:v>
                </c:pt>
                <c:pt idx="10">
                  <c:v>6000</c:v>
                </c:pt>
                <c:pt idx="11">
                  <c:v>40000</c:v>
                </c:pt>
              </c:numCache>
            </c:numRef>
          </c:val>
        </c:ser>
        <c:dLbls>
          <c:showLegendKey val="0"/>
          <c:showVal val="0"/>
          <c:showCatName val="0"/>
          <c:showSerName val="0"/>
          <c:showPercent val="0"/>
          <c:showBubbleSize val="0"/>
        </c:dLbls>
        <c:gapWidth val="150"/>
        <c:overlap val="100"/>
        <c:axId val="377440984"/>
        <c:axId val="377441768"/>
      </c:barChart>
      <c:catAx>
        <c:axId val="377440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441768"/>
        <c:crosses val="autoZero"/>
        <c:auto val="1"/>
        <c:lblAlgn val="ctr"/>
        <c:lblOffset val="100"/>
        <c:noMultiLvlLbl val="0"/>
      </c:catAx>
      <c:valAx>
        <c:axId val="377441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4409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[SUMIYA.xlsx]Sheet3!PivotTable3</c:name>
    <c:fmtId val="1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Sheet3!$I$3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Sheet3!$H$4:$H$16</c:f>
              <c:strCache>
                <c:ptCount val="12"/>
                <c:pt idx="0">
                  <c:v>01-01-2025</c:v>
                </c:pt>
                <c:pt idx="1">
                  <c:v>01-02-2025</c:v>
                </c:pt>
                <c:pt idx="2">
                  <c:v>01-03-2025</c:v>
                </c:pt>
                <c:pt idx="3">
                  <c:v>01-04-2025</c:v>
                </c:pt>
                <c:pt idx="4">
                  <c:v>01-05-2025</c:v>
                </c:pt>
                <c:pt idx="5">
                  <c:v>01-06-2025</c:v>
                </c:pt>
                <c:pt idx="6">
                  <c:v>01-07-2025</c:v>
                </c:pt>
                <c:pt idx="7">
                  <c:v>01-08-2025</c:v>
                </c:pt>
                <c:pt idx="8">
                  <c:v>01-09-2025</c:v>
                </c:pt>
                <c:pt idx="9">
                  <c:v>01-10-2025</c:v>
                </c:pt>
                <c:pt idx="10">
                  <c:v>01-11-2025</c:v>
                </c:pt>
                <c:pt idx="11">
                  <c:v>01-12-2025</c:v>
                </c:pt>
              </c:strCache>
            </c:strRef>
          </c:cat>
          <c:val>
            <c:numRef>
              <c:f>Sheet3!$I$4:$I$16</c:f>
              <c:numCache>
                <c:formatCode>General</c:formatCode>
                <c:ptCount val="12"/>
                <c:pt idx="0">
                  <c:v>4500</c:v>
                </c:pt>
                <c:pt idx="1">
                  <c:v>1500</c:v>
                </c:pt>
                <c:pt idx="2">
                  <c:v>500</c:v>
                </c:pt>
                <c:pt idx="3">
                  <c:v>500</c:v>
                </c:pt>
                <c:pt idx="4">
                  <c:v>1000</c:v>
                </c:pt>
                <c:pt idx="5">
                  <c:v>1000</c:v>
                </c:pt>
                <c:pt idx="6">
                  <c:v>2000</c:v>
                </c:pt>
                <c:pt idx="7">
                  <c:v>1500</c:v>
                </c:pt>
                <c:pt idx="8">
                  <c:v>700</c:v>
                </c:pt>
                <c:pt idx="9">
                  <c:v>900</c:v>
                </c:pt>
                <c:pt idx="10">
                  <c:v>6000</c:v>
                </c:pt>
                <c:pt idx="11">
                  <c:v>40000</c:v>
                </c:pt>
              </c:numCache>
            </c:numRef>
          </c:val>
          <c:smooth val="0"/>
        </c:ser>
        <c:dLbls>
          <c:showLegendKey val="0"/>
          <c:showVal val="0"/>
          <c:showCatName val="0"/>
          <c:showSerName val="0"/>
          <c:showPercent val="0"/>
          <c:showBubbleSize val="0"/>
        </c:dLbls>
        <c:marker val="1"/>
        <c:smooth val="0"/>
        <c:axId val="383588336"/>
        <c:axId val="383585200"/>
      </c:lineChart>
      <c:catAx>
        <c:axId val="38358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585200"/>
        <c:crosses val="autoZero"/>
        <c:auto val="1"/>
        <c:lblAlgn val="ctr"/>
        <c:lblOffset val="100"/>
        <c:noMultiLvlLbl val="0"/>
      </c:catAx>
      <c:valAx>
        <c:axId val="38358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588336"/>
        <c:crosses val="autoZero"/>
        <c:crossBetween val="between"/>
      </c:valAx>
      <c:spPr>
        <a:noFill/>
        <a:ln>
          <a:noFill/>
        </a:ln>
        <a:effectLst/>
      </c:spPr>
    </c:plotArea>
    <c:legend>
      <c:legendPos val="r"/>
      <c:layout>
        <c:manualLayout>
          <c:xMode val="edge"/>
          <c:yMode val="edge"/>
          <c:x val="0.66666666666666663"/>
          <c:y val="0.45557052554686595"/>
          <c:w val="0.33333333333333331"/>
          <c:h val="0.24587382390641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28574</xdr:colOff>
      <xdr:row>17</xdr:row>
      <xdr:rowOff>28574</xdr:rowOff>
    </xdr:from>
    <xdr:to>
      <xdr:col>1</xdr:col>
      <xdr:colOff>1381125</xdr:colOff>
      <xdr:row>29</xdr:row>
      <xdr:rowOff>133349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600075</xdr:colOff>
      <xdr:row>16</xdr:row>
      <xdr:rowOff>95249</xdr:rowOff>
    </xdr:from>
    <xdr:to>
      <xdr:col>5</xdr:col>
      <xdr:colOff>0</xdr:colOff>
      <xdr:row>29</xdr:row>
      <xdr:rowOff>180974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581025</xdr:colOff>
      <xdr:row>16</xdr:row>
      <xdr:rowOff>80962</xdr:rowOff>
    </xdr:from>
    <xdr:to>
      <xdr:col>8</xdr:col>
      <xdr:colOff>1390650</xdr:colOff>
      <xdr:row>30</xdr:row>
      <xdr:rowOff>9525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19049</xdr:colOff>
      <xdr:row>32</xdr:row>
      <xdr:rowOff>0</xdr:rowOff>
    </xdr:from>
    <xdr:to>
      <xdr:col>2</xdr:col>
      <xdr:colOff>114299</xdr:colOff>
      <xdr:row>45</xdr:row>
      <xdr:rowOff>47625</xdr:rowOff>
    </xdr:to>
    <mc:AlternateContent xmlns:mc="http://schemas.openxmlformats.org/markup-compatibility/2006">
      <mc:Choice xmlns:a14="http://schemas.microsoft.com/office/drawing/2010/main"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049" y="6096000"/>
              <a:ext cx="242887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xdr:colOff>
      <xdr:row>32</xdr:row>
      <xdr:rowOff>0</xdr:rowOff>
    </xdr:from>
    <xdr:to>
      <xdr:col>4</xdr:col>
      <xdr:colOff>1381125</xdr:colOff>
      <xdr:row>45</xdr:row>
      <xdr:rowOff>47625</xdr:rowOff>
    </xdr:to>
    <mc:AlternateContent xmlns:mc="http://schemas.openxmlformats.org/markup-compatibility/2006">
      <mc:Choice xmlns:a14="http://schemas.microsoft.com/office/drawing/2010/main" Requires="a14">
        <xdr:graphicFrame macro="">
          <xdr:nvGraphicFramePr>
            <xdr:cNvPr id="6" name="Actual Amount"/>
            <xdr:cNvGraphicFramePr/>
          </xdr:nvGraphicFramePr>
          <xdr:xfrm>
            <a:off x="0" y="0"/>
            <a:ext cx="0" cy="0"/>
          </xdr:xfrm>
          <a:graphic>
            <a:graphicData uri="http://schemas.microsoft.com/office/drawing/2010/slicer">
              <sle:slicer xmlns:sle="http://schemas.microsoft.com/office/drawing/2010/slicer" name="Actual Amount"/>
            </a:graphicData>
          </a:graphic>
        </xdr:graphicFrame>
      </mc:Choice>
      <mc:Fallback>
        <xdr:sp macro="" textlink="">
          <xdr:nvSpPr>
            <xdr:cNvPr id="0" name=""/>
            <xdr:cNvSpPr>
              <a:spLocks noTextEdit="1"/>
            </xdr:cNvSpPr>
          </xdr:nvSpPr>
          <xdr:spPr>
            <a:xfrm>
              <a:off x="2952750" y="6096000"/>
              <a:ext cx="22479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28575</xdr:colOff>
      <xdr:row>32</xdr:row>
      <xdr:rowOff>9525</xdr:rowOff>
    </xdr:from>
    <xdr:to>
      <xdr:col>9</xdr:col>
      <xdr:colOff>9525</xdr:colOff>
      <xdr:row>45</xdr:row>
      <xdr:rowOff>57150</xdr:rowOff>
    </xdr:to>
    <mc:AlternateContent xmlns:mc="http://schemas.openxmlformats.org/markup-compatibility/2006">
      <mc:Choice xmlns:a14="http://schemas.microsoft.com/office/drawing/2010/main" Requires="a14">
        <xdr:graphicFrame macro="">
          <xdr:nvGraphicFramePr>
            <xdr:cNvPr id="7"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467475" y="6105525"/>
              <a:ext cx="225742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21895</xdr:colOff>
      <xdr:row>0</xdr:row>
      <xdr:rowOff>0</xdr:rowOff>
    </xdr:from>
    <xdr:to>
      <xdr:col>17</xdr:col>
      <xdr:colOff>531916</xdr:colOff>
      <xdr:row>4</xdr:row>
      <xdr:rowOff>147452</xdr:rowOff>
    </xdr:to>
    <xdr:sp macro="" textlink="">
      <xdr:nvSpPr>
        <xdr:cNvPr id="2" name="Rounded Rectangle 1"/>
        <xdr:cNvSpPr/>
      </xdr:nvSpPr>
      <xdr:spPr>
        <a:xfrm>
          <a:off x="21895" y="0"/>
          <a:ext cx="10814339" cy="8896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259772</xdr:colOff>
      <xdr:row>1</xdr:row>
      <xdr:rowOff>123826</xdr:rowOff>
    </xdr:from>
    <xdr:to>
      <xdr:col>12</xdr:col>
      <xdr:colOff>544285</xdr:colOff>
      <xdr:row>3</xdr:row>
      <xdr:rowOff>152400</xdr:rowOff>
    </xdr:to>
    <xdr:sp macro="" textlink="">
      <xdr:nvSpPr>
        <xdr:cNvPr id="3" name="TextBox 2"/>
        <xdr:cNvSpPr txBox="1"/>
      </xdr:nvSpPr>
      <xdr:spPr>
        <a:xfrm>
          <a:off x="3290454" y="309378"/>
          <a:ext cx="4527467" cy="3996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0070C0"/>
              </a:solidFill>
            </a:rPr>
            <a:t>PERSONAL BUDGET FINANCE DASHBOARD</a:t>
          </a:r>
        </a:p>
      </xdr:txBody>
    </xdr:sp>
    <xdr:clientData/>
  </xdr:twoCellAnchor>
  <xdr:twoCellAnchor>
    <xdr:from>
      <xdr:col>0</xdr:col>
      <xdr:colOff>57148</xdr:colOff>
      <xdr:row>9</xdr:row>
      <xdr:rowOff>114299</xdr:rowOff>
    </xdr:from>
    <xdr:to>
      <xdr:col>4</xdr:col>
      <xdr:colOff>590550</xdr:colOff>
      <xdr:row>22</xdr:row>
      <xdr:rowOff>28574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xdr:row>
      <xdr:rowOff>114300</xdr:rowOff>
    </xdr:from>
    <xdr:to>
      <xdr:col>11</xdr:col>
      <xdr:colOff>295275</xdr:colOff>
      <xdr:row>21</xdr:row>
      <xdr:rowOff>104776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23</xdr:row>
      <xdr:rowOff>176212</xdr:rowOff>
    </xdr:from>
    <xdr:to>
      <xdr:col>5</xdr:col>
      <xdr:colOff>19050</xdr:colOff>
      <xdr:row>37</xdr:row>
      <xdr:rowOff>104775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571499</xdr:colOff>
      <xdr:row>24</xdr:row>
      <xdr:rowOff>0</xdr:rowOff>
    </xdr:from>
    <xdr:to>
      <xdr:col>9</xdr:col>
      <xdr:colOff>561974</xdr:colOff>
      <xdr:row>37</xdr:row>
      <xdr:rowOff>47625</xdr:rowOff>
    </xdr:to>
    <mc:AlternateContent xmlns:mc="http://schemas.openxmlformats.org/markup-compatibility/2006">
      <mc:Choice xmlns:a14="http://schemas.microsoft.com/office/drawing/2010/main" Requires="a14">
        <xdr:graphicFrame macro="">
          <xdr:nvGraphicFramePr>
            <xdr:cNvPr id="7"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602181" y="4453247"/>
              <a:ext cx="2415020" cy="245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28575</xdr:colOff>
      <xdr:row>23</xdr:row>
      <xdr:rowOff>171450</xdr:rowOff>
    </xdr:from>
    <xdr:to>
      <xdr:col>13</xdr:col>
      <xdr:colOff>447675</xdr:colOff>
      <xdr:row>37</xdr:row>
      <xdr:rowOff>28575</xdr:rowOff>
    </xdr:to>
    <mc:AlternateContent xmlns:mc="http://schemas.openxmlformats.org/markup-compatibility/2006">
      <mc:Choice xmlns:a14="http://schemas.microsoft.com/office/drawing/2010/main" Requires="a14">
        <xdr:graphicFrame macro="">
          <xdr:nvGraphicFramePr>
            <xdr:cNvPr id="8" name="Actual Amount 1"/>
            <xdr:cNvGraphicFramePr/>
          </xdr:nvGraphicFramePr>
          <xdr:xfrm>
            <a:off x="0" y="0"/>
            <a:ext cx="0" cy="0"/>
          </xdr:xfrm>
          <a:graphic>
            <a:graphicData uri="http://schemas.microsoft.com/office/drawing/2010/slicer">
              <sle:slicer xmlns:sle="http://schemas.microsoft.com/office/drawing/2010/slicer" name="Actual Amount 1"/>
            </a:graphicData>
          </a:graphic>
        </xdr:graphicFrame>
      </mc:Choice>
      <mc:Fallback>
        <xdr:sp macro="" textlink="">
          <xdr:nvSpPr>
            <xdr:cNvPr id="0" name=""/>
            <xdr:cNvSpPr>
              <a:spLocks noTextEdit="1"/>
            </xdr:cNvSpPr>
          </xdr:nvSpPr>
          <xdr:spPr>
            <a:xfrm>
              <a:off x="6089939" y="4439145"/>
              <a:ext cx="2237509" cy="2454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600075</xdr:colOff>
      <xdr:row>23</xdr:row>
      <xdr:rowOff>180975</xdr:rowOff>
    </xdr:from>
    <xdr:to>
      <xdr:col>17</xdr:col>
      <xdr:colOff>419100</xdr:colOff>
      <xdr:row>37</xdr:row>
      <xdr:rowOff>38100</xdr:rowOff>
    </xdr:to>
    <mc:AlternateContent xmlns:mc="http://schemas.openxmlformats.org/markup-compatibility/2006">
      <mc:Choice xmlns:a14="http://schemas.microsoft.com/office/drawing/2010/main" Requires="a14">
        <xdr:graphicFrame macro="">
          <xdr:nvGraphicFramePr>
            <xdr:cNvPr id="9"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8479848" y="4448670"/>
              <a:ext cx="2243570" cy="2454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321622</xdr:colOff>
      <xdr:row>4</xdr:row>
      <xdr:rowOff>0</xdr:rowOff>
    </xdr:from>
    <xdr:to>
      <xdr:col>4</xdr:col>
      <xdr:colOff>197922</xdr:colOff>
      <xdr:row>8</xdr:row>
      <xdr:rowOff>49480</xdr:rowOff>
    </xdr:to>
    <xdr:sp macro="" textlink="">
      <xdr:nvSpPr>
        <xdr:cNvPr id="10" name="Rounded Rectangle 9"/>
        <xdr:cNvSpPr/>
      </xdr:nvSpPr>
      <xdr:spPr>
        <a:xfrm>
          <a:off x="321622" y="742208"/>
          <a:ext cx="2300845" cy="79168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569025</xdr:colOff>
      <xdr:row>4</xdr:row>
      <xdr:rowOff>148442</xdr:rowOff>
    </xdr:from>
    <xdr:to>
      <xdr:col>4</xdr:col>
      <xdr:colOff>12369</xdr:colOff>
      <xdr:row>8</xdr:row>
      <xdr:rowOff>24740</xdr:rowOff>
    </xdr:to>
    <xdr:sp macro="" textlink="">
      <xdr:nvSpPr>
        <xdr:cNvPr id="11" name="TextBox 10"/>
        <xdr:cNvSpPr txBox="1"/>
      </xdr:nvSpPr>
      <xdr:spPr>
        <a:xfrm>
          <a:off x="569025" y="890650"/>
          <a:ext cx="1867889" cy="618506"/>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N" sz="1400" b="1" i="1"/>
            <a:t>MONTHLY</a:t>
          </a:r>
          <a:r>
            <a:rPr lang="en-IN" sz="1400" b="1" i="1" baseline="0"/>
            <a:t> BUDGET </a:t>
          </a:r>
        </a:p>
        <a:p>
          <a:pPr algn="ctr"/>
          <a:r>
            <a:rPr lang="en-IN" sz="1400" b="1" i="1" baseline="0"/>
            <a:t>88%</a:t>
          </a:r>
        </a:p>
      </xdr:txBody>
    </xdr:sp>
    <xdr:clientData/>
  </xdr:twoCellAnchor>
  <xdr:twoCellAnchor>
    <xdr:from>
      <xdr:col>6</xdr:col>
      <xdr:colOff>445325</xdr:colOff>
      <xdr:row>4</xdr:row>
      <xdr:rowOff>86591</xdr:rowOff>
    </xdr:from>
    <xdr:to>
      <xdr:col>10</xdr:col>
      <xdr:colOff>556655</xdr:colOff>
      <xdr:row>8</xdr:row>
      <xdr:rowOff>37110</xdr:rowOff>
    </xdr:to>
    <xdr:sp macro="" textlink="">
      <xdr:nvSpPr>
        <xdr:cNvPr id="12" name="Rounded Rectangle 11"/>
        <xdr:cNvSpPr/>
      </xdr:nvSpPr>
      <xdr:spPr>
        <a:xfrm>
          <a:off x="4082143" y="828799"/>
          <a:ext cx="2535876" cy="69272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519547</xdr:colOff>
      <xdr:row>4</xdr:row>
      <xdr:rowOff>136071</xdr:rowOff>
    </xdr:from>
    <xdr:to>
      <xdr:col>10</xdr:col>
      <xdr:colOff>432955</xdr:colOff>
      <xdr:row>8</xdr:row>
      <xdr:rowOff>12371</xdr:rowOff>
    </xdr:to>
    <xdr:sp macro="" textlink="">
      <xdr:nvSpPr>
        <xdr:cNvPr id="13" name="TextBox 12"/>
        <xdr:cNvSpPr txBox="1"/>
      </xdr:nvSpPr>
      <xdr:spPr>
        <a:xfrm>
          <a:off x="4156365" y="878279"/>
          <a:ext cx="2337954" cy="618508"/>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N" sz="1600" b="1" i="1"/>
            <a:t>ACTUAL</a:t>
          </a:r>
          <a:r>
            <a:rPr lang="en-IN" sz="1600" b="1" i="1" baseline="0"/>
            <a:t> SPENT</a:t>
          </a:r>
        </a:p>
        <a:p>
          <a:pPr algn="ctr"/>
          <a:r>
            <a:rPr lang="en-IN" sz="1600" b="1" i="1" baseline="0"/>
            <a:t>68.8%</a:t>
          </a:r>
          <a:endParaRPr lang="en-IN" sz="1600" b="1" i="1"/>
        </a:p>
      </xdr:txBody>
    </xdr:sp>
    <xdr:clientData/>
  </xdr:twoCellAnchor>
  <xdr:twoCellAnchor>
    <xdr:from>
      <xdr:col>13</xdr:col>
      <xdr:colOff>173181</xdr:colOff>
      <xdr:row>3</xdr:row>
      <xdr:rowOff>123701</xdr:rowOff>
    </xdr:from>
    <xdr:to>
      <xdr:col>17</xdr:col>
      <xdr:colOff>136072</xdr:colOff>
      <xdr:row>8</xdr:row>
      <xdr:rowOff>0</xdr:rowOff>
    </xdr:to>
    <xdr:sp macro="" textlink="">
      <xdr:nvSpPr>
        <xdr:cNvPr id="14" name="Rounded Rectangle 13"/>
        <xdr:cNvSpPr/>
      </xdr:nvSpPr>
      <xdr:spPr>
        <a:xfrm>
          <a:off x="8052954" y="680357"/>
          <a:ext cx="2387436" cy="80405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272143</xdr:colOff>
      <xdr:row>4</xdr:row>
      <xdr:rowOff>24741</xdr:rowOff>
    </xdr:from>
    <xdr:to>
      <xdr:col>17</xdr:col>
      <xdr:colOff>61851</xdr:colOff>
      <xdr:row>7</xdr:row>
      <xdr:rowOff>61851</xdr:rowOff>
    </xdr:to>
    <xdr:sp macro="" textlink="">
      <xdr:nvSpPr>
        <xdr:cNvPr id="15" name="TextBox 14"/>
        <xdr:cNvSpPr txBox="1"/>
      </xdr:nvSpPr>
      <xdr:spPr>
        <a:xfrm>
          <a:off x="8151916" y="766949"/>
          <a:ext cx="2214253" cy="593766"/>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N" sz="1600" b="1" i="1"/>
            <a:t>REMAINING</a:t>
          </a:r>
        </a:p>
        <a:p>
          <a:pPr algn="ctr"/>
          <a:r>
            <a:rPr lang="en-IN" sz="1600" b="1" i="1"/>
            <a:t>19.2%</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43.500562152774" createdVersion="5" refreshedVersion="5" minRefreshableVersion="3" recordCount="12">
  <cacheSource type="worksheet">
    <worksheetSource ref="A1:F13" sheet="Sheet1"/>
  </cacheSource>
  <cacheFields count="6">
    <cacheField name="Date" numFmtId="14">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cacheField>
    <cacheField name="Category" numFmtId="0">
      <sharedItems count="11">
        <s v="Rent"/>
        <s v="Food"/>
        <s v="Transport"/>
        <s v="Entertainment"/>
        <s v="Savings"/>
        <s v="Shopping"/>
        <s v="Education"/>
        <s v="Utilities"/>
        <s v="Health care"/>
        <s v="Freelance"/>
        <s v="Salary"/>
      </sharedItems>
    </cacheField>
    <cacheField name="Type" numFmtId="0">
      <sharedItems/>
    </cacheField>
    <cacheField name="Description" numFmtId="0">
      <sharedItems/>
    </cacheField>
    <cacheField name="Actual Amount" numFmtId="0">
      <sharedItems containsSemiMixedTypes="0" containsString="0" containsNumber="1" containsInteger="1" minValue="500" maxValue="40000" count="9">
        <n v="4500"/>
        <n v="1500"/>
        <n v="500"/>
        <n v="1000"/>
        <n v="2000"/>
        <n v="700"/>
        <n v="900"/>
        <n v="6000"/>
        <n v="40000"/>
      </sharedItems>
    </cacheField>
    <cacheField name="Month" numFmtId="0">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
  <r>
    <x v="0"/>
    <x v="0"/>
    <s v="Expense"/>
    <s v="House rent"/>
    <x v="0"/>
    <x v="0"/>
  </r>
  <r>
    <x v="1"/>
    <x v="1"/>
    <s v="Expense"/>
    <s v="Groceries"/>
    <x v="1"/>
    <x v="1"/>
  </r>
  <r>
    <x v="2"/>
    <x v="2"/>
    <s v="Expense"/>
    <s v="Taxi"/>
    <x v="2"/>
    <x v="2"/>
  </r>
  <r>
    <x v="3"/>
    <x v="3"/>
    <s v="Expense"/>
    <s v="Movie night"/>
    <x v="2"/>
    <x v="3"/>
  </r>
  <r>
    <x v="4"/>
    <x v="4"/>
    <s v="Savings"/>
    <s v="Monthly deposit"/>
    <x v="3"/>
    <x v="4"/>
  </r>
  <r>
    <x v="5"/>
    <x v="4"/>
    <s v="Savings"/>
    <s v="RD/SIP invester"/>
    <x v="3"/>
    <x v="5"/>
  </r>
  <r>
    <x v="6"/>
    <x v="5"/>
    <s v="Expense"/>
    <s v="Clothing"/>
    <x v="4"/>
    <x v="6"/>
  </r>
  <r>
    <x v="7"/>
    <x v="6"/>
    <s v="Expense"/>
    <s v="Online course"/>
    <x v="1"/>
    <x v="7"/>
  </r>
  <r>
    <x v="8"/>
    <x v="7"/>
    <s v="Expense"/>
    <s v="Electricity bill"/>
    <x v="5"/>
    <x v="8"/>
  </r>
  <r>
    <x v="9"/>
    <x v="8"/>
    <s v="Expense"/>
    <s v="Medical checkup"/>
    <x v="6"/>
    <x v="9"/>
  </r>
  <r>
    <x v="10"/>
    <x v="9"/>
    <s v="Income"/>
    <s v="Freelance project"/>
    <x v="7"/>
    <x v="10"/>
  </r>
  <r>
    <x v="11"/>
    <x v="10"/>
    <s v="Income"/>
    <s v="Salary credit"/>
    <x v="8"/>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H3:I16" firstHeaderRow="1" firstDataRow="1" firstDataCol="1"/>
  <pivotFields count="6">
    <pivotField axis="axisRow" numFmtId="14" showAll="0">
      <items count="13">
        <item x="0"/>
        <item x="1"/>
        <item x="2"/>
        <item x="3"/>
        <item x="4"/>
        <item x="5"/>
        <item x="6"/>
        <item x="7"/>
        <item x="8"/>
        <item x="9"/>
        <item x="10"/>
        <item x="11"/>
        <item t="default"/>
      </items>
    </pivotField>
    <pivotField showAll="0">
      <items count="12">
        <item x="6"/>
        <item x="3"/>
        <item x="1"/>
        <item x="9"/>
        <item x="8"/>
        <item x="0"/>
        <item x="10"/>
        <item x="4"/>
        <item x="5"/>
        <item x="2"/>
        <item x="7"/>
        <item t="default"/>
      </items>
    </pivotField>
    <pivotField showAll="0"/>
    <pivotField showAll="0"/>
    <pivotField dataField="1"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Actual Amount" fld="4" baseField="0" baseItem="0"/>
  </dataField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D3:E16" firstHeaderRow="1" firstDataRow="1" firstDataCol="1"/>
  <pivotFields count="6">
    <pivotField numFmtId="14" showAll="0"/>
    <pivotField showAll="0">
      <items count="12">
        <item x="6"/>
        <item x="3"/>
        <item x="1"/>
        <item x="9"/>
        <item x="8"/>
        <item x="0"/>
        <item x="10"/>
        <item x="4"/>
        <item x="5"/>
        <item x="2"/>
        <item x="7"/>
        <item t="default"/>
      </items>
    </pivotField>
    <pivotField showAll="0"/>
    <pivotField showAll="0"/>
    <pivotField dataField="1" showAll="0"/>
    <pivotField axis="axisRow" showAll="0">
      <items count="13">
        <item x="0"/>
        <item x="1"/>
        <item x="2"/>
        <item x="3"/>
        <item x="4"/>
        <item x="5"/>
        <item x="6"/>
        <item x="7"/>
        <item x="8"/>
        <item x="9"/>
        <item x="10"/>
        <item x="11"/>
        <item t="default"/>
      </items>
    </pivotField>
  </pivotFields>
  <rowFields count="1">
    <field x="5"/>
  </rowFields>
  <rowItems count="13">
    <i>
      <x/>
    </i>
    <i>
      <x v="1"/>
    </i>
    <i>
      <x v="2"/>
    </i>
    <i>
      <x v="3"/>
    </i>
    <i>
      <x v="4"/>
    </i>
    <i>
      <x v="5"/>
    </i>
    <i>
      <x v="6"/>
    </i>
    <i>
      <x v="7"/>
    </i>
    <i>
      <x v="8"/>
    </i>
    <i>
      <x v="9"/>
    </i>
    <i>
      <x v="10"/>
    </i>
    <i>
      <x v="11"/>
    </i>
    <i t="grand">
      <x/>
    </i>
  </rowItems>
  <colItems count="1">
    <i/>
  </colItems>
  <dataFields count="1">
    <dataField name="Sum of Actual Amount" fld="4"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15" firstHeaderRow="1" firstDataRow="1" firstDataCol="1"/>
  <pivotFields count="6">
    <pivotField numFmtId="14" showAll="0"/>
    <pivotField axis="axisRow" showAll="0">
      <items count="12">
        <item x="6"/>
        <item x="3"/>
        <item x="1"/>
        <item x="9"/>
        <item x="8"/>
        <item x="0"/>
        <item x="10"/>
        <item x="4"/>
        <item x="5"/>
        <item x="2"/>
        <item x="7"/>
        <item t="default"/>
      </items>
    </pivotField>
    <pivotField showAll="0"/>
    <pivotField showAll="0"/>
    <pivotField dataField="1" showAll="0">
      <items count="10">
        <item x="2"/>
        <item x="5"/>
        <item x="6"/>
        <item x="3"/>
        <item x="1"/>
        <item x="4"/>
        <item x="0"/>
        <item x="7"/>
        <item x="8"/>
        <item t="default"/>
      </items>
    </pivotField>
    <pivotField showAll="0">
      <items count="13">
        <item x="0"/>
        <item x="1"/>
        <item x="2"/>
        <item x="3"/>
        <item x="4"/>
        <item x="5"/>
        <item x="6"/>
        <item x="7"/>
        <item x="8"/>
        <item x="9"/>
        <item x="10"/>
        <item x="11"/>
        <item t="default"/>
      </items>
    </pivotField>
  </pivotFields>
  <rowFields count="1">
    <field x="1"/>
  </rowFields>
  <rowItems count="12">
    <i>
      <x/>
    </i>
    <i>
      <x v="1"/>
    </i>
    <i>
      <x v="2"/>
    </i>
    <i>
      <x v="3"/>
    </i>
    <i>
      <x v="4"/>
    </i>
    <i>
      <x v="5"/>
    </i>
    <i>
      <x v="6"/>
    </i>
    <i>
      <x v="7"/>
    </i>
    <i>
      <x v="8"/>
    </i>
    <i>
      <x v="9"/>
    </i>
    <i>
      <x v="10"/>
    </i>
    <i t="grand">
      <x/>
    </i>
  </rowItems>
  <colItems count="1">
    <i/>
  </colItems>
  <dataFields count="1">
    <dataField name="Sum of Actual Amount" fld="4" baseField="0" baseItem="0"/>
  </dataFields>
  <chartFormats count="13">
    <chartFormat chart="1" format="0"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 count="1" selected="0">
            <x v="0"/>
          </reference>
        </references>
      </pivotArea>
    </chartFormat>
    <chartFormat chart="6" format="15">
      <pivotArea type="data" outline="0" fieldPosition="0">
        <references count="2">
          <reference field="4294967294" count="1" selected="0">
            <x v="0"/>
          </reference>
          <reference field="1" count="1" selected="0">
            <x v="1"/>
          </reference>
        </references>
      </pivotArea>
    </chartFormat>
    <chartFormat chart="6" format="16">
      <pivotArea type="data" outline="0" fieldPosition="0">
        <references count="2">
          <reference field="4294967294" count="1" selected="0">
            <x v="0"/>
          </reference>
          <reference field="1" count="1" selected="0">
            <x v="2"/>
          </reference>
        </references>
      </pivotArea>
    </chartFormat>
    <chartFormat chart="6" format="17">
      <pivotArea type="data" outline="0" fieldPosition="0">
        <references count="2">
          <reference field="4294967294" count="1" selected="0">
            <x v="0"/>
          </reference>
          <reference field="1" count="1" selected="0">
            <x v="3"/>
          </reference>
        </references>
      </pivotArea>
    </chartFormat>
    <chartFormat chart="6" format="18">
      <pivotArea type="data" outline="0" fieldPosition="0">
        <references count="2">
          <reference field="4294967294" count="1" selected="0">
            <x v="0"/>
          </reference>
          <reference field="1" count="1" selected="0">
            <x v="4"/>
          </reference>
        </references>
      </pivotArea>
    </chartFormat>
    <chartFormat chart="6" format="19">
      <pivotArea type="data" outline="0" fieldPosition="0">
        <references count="2">
          <reference field="4294967294" count="1" selected="0">
            <x v="0"/>
          </reference>
          <reference field="1" count="1" selected="0">
            <x v="5"/>
          </reference>
        </references>
      </pivotArea>
    </chartFormat>
    <chartFormat chart="6" format="20">
      <pivotArea type="data" outline="0" fieldPosition="0">
        <references count="2">
          <reference field="4294967294" count="1" selected="0">
            <x v="0"/>
          </reference>
          <reference field="1" count="1" selected="0">
            <x v="6"/>
          </reference>
        </references>
      </pivotArea>
    </chartFormat>
    <chartFormat chart="6" format="21">
      <pivotArea type="data" outline="0" fieldPosition="0">
        <references count="2">
          <reference field="4294967294" count="1" selected="0">
            <x v="0"/>
          </reference>
          <reference field="1" count="1" selected="0">
            <x v="7"/>
          </reference>
        </references>
      </pivotArea>
    </chartFormat>
    <chartFormat chart="6" format="22">
      <pivotArea type="data" outline="0" fieldPosition="0">
        <references count="2">
          <reference field="4294967294" count="1" selected="0">
            <x v="0"/>
          </reference>
          <reference field="1" count="1" selected="0">
            <x v="8"/>
          </reference>
        </references>
      </pivotArea>
    </chartFormat>
    <chartFormat chart="6" format="23">
      <pivotArea type="data" outline="0" fieldPosition="0">
        <references count="2">
          <reference field="4294967294" count="1" selected="0">
            <x v="0"/>
          </reference>
          <reference field="1" count="1" selected="0">
            <x v="9"/>
          </reference>
        </references>
      </pivotArea>
    </chartFormat>
    <chartFormat chart="6" format="24">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1"/>
  </pivotTables>
  <data>
    <tabular pivotCacheId="1">
      <items count="11">
        <i x="6" s="1"/>
        <i x="3" s="1"/>
        <i x="1" s="1"/>
        <i x="9" s="1"/>
        <i x="8" s="1"/>
        <i x="0" s="1"/>
        <i x="10" s="1"/>
        <i x="4" s="1"/>
        <i x="5"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ctual_Amount" sourceName="Actual Amount">
  <pivotTables>
    <pivotTable tabId="3" name="PivotTable1"/>
  </pivotTables>
  <data>
    <tabular pivotCacheId="1">
      <items count="9">
        <i x="2" s="1"/>
        <i x="5" s="1"/>
        <i x="6" s="1"/>
        <i x="3" s="1"/>
        <i x="1" s="1"/>
        <i x="4" s="1"/>
        <i x="0" s="1"/>
        <i x="7"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1"/>
  </pivotTables>
  <data>
    <tabular pivotCacheId="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artItem="3" rowHeight="241300"/>
  <slicer name="Actual Amount" cache="Slicer_Actual_Amount" caption="Actual Amount" startItem="1" rowHeight="241300"/>
  <slicer name="Month"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startItem="3" rowHeight="241300"/>
  <slicer name="Actual Amount 1" cache="Slicer_Actual_Amount" caption="Actual Amount" startItem="1" rowHeight="241300"/>
  <slicer name="Month 1" cache="Slicer_Month" caption="Mont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6"/>
  <sheetViews>
    <sheetView topLeftCell="A28" workbookViewId="0">
      <selection activeCell="H32" sqref="H32:I46"/>
    </sheetView>
  </sheetViews>
  <sheetFormatPr defaultRowHeight="15" x14ac:dyDescent="0.25"/>
  <cols>
    <col min="1" max="1" width="14" customWidth="1"/>
    <col min="2" max="2" width="21" bestFit="1" customWidth="1"/>
    <col min="4" max="4" width="13.140625" customWidth="1"/>
    <col min="5" max="5" width="21" bestFit="1" customWidth="1"/>
    <col min="8" max="8" width="13.140625" customWidth="1"/>
    <col min="9" max="9" width="21" bestFit="1" customWidth="1"/>
  </cols>
  <sheetData>
    <row r="3" spans="1:9" x14ac:dyDescent="0.25">
      <c r="A3" s="3" t="s">
        <v>38</v>
      </c>
      <c r="B3" t="s">
        <v>40</v>
      </c>
      <c r="D3" s="3" t="s">
        <v>38</v>
      </c>
      <c r="E3" t="s">
        <v>40</v>
      </c>
      <c r="H3" s="3" t="s">
        <v>38</v>
      </c>
      <c r="I3" t="s">
        <v>40</v>
      </c>
    </row>
    <row r="4" spans="1:9" x14ac:dyDescent="0.25">
      <c r="A4" s="4" t="s">
        <v>8</v>
      </c>
      <c r="B4" s="5">
        <v>1500</v>
      </c>
      <c r="D4" s="4" t="s">
        <v>34</v>
      </c>
      <c r="E4" s="5">
        <v>4500</v>
      </c>
      <c r="H4" s="6">
        <v>45658</v>
      </c>
      <c r="I4" s="5">
        <v>4500</v>
      </c>
    </row>
    <row r="5" spans="1:9" x14ac:dyDescent="0.25">
      <c r="A5" s="4" t="s">
        <v>5</v>
      </c>
      <c r="B5" s="5">
        <v>500</v>
      </c>
      <c r="D5" s="4" t="s">
        <v>35</v>
      </c>
      <c r="E5" s="5">
        <v>1500</v>
      </c>
      <c r="H5" s="6">
        <v>45689</v>
      </c>
      <c r="I5" s="5">
        <v>1500</v>
      </c>
    </row>
    <row r="6" spans="1:9" x14ac:dyDescent="0.25">
      <c r="A6" s="4" t="s">
        <v>3</v>
      </c>
      <c r="B6" s="5">
        <v>1500</v>
      </c>
      <c r="D6" s="4" t="s">
        <v>36</v>
      </c>
      <c r="E6" s="5">
        <v>500</v>
      </c>
      <c r="H6" s="6">
        <v>45717</v>
      </c>
      <c r="I6" s="5">
        <v>500</v>
      </c>
    </row>
    <row r="7" spans="1:9" x14ac:dyDescent="0.25">
      <c r="A7" s="4" t="s">
        <v>11</v>
      </c>
      <c r="B7" s="5">
        <v>6000</v>
      </c>
      <c r="D7" s="4" t="s">
        <v>37</v>
      </c>
      <c r="E7" s="5">
        <v>500</v>
      </c>
      <c r="H7" s="6">
        <v>45748</v>
      </c>
      <c r="I7" s="5">
        <v>500</v>
      </c>
    </row>
    <row r="8" spans="1:9" x14ac:dyDescent="0.25">
      <c r="A8" s="4" t="s">
        <v>10</v>
      </c>
      <c r="B8" s="5">
        <v>900</v>
      </c>
      <c r="D8" s="4" t="s">
        <v>45</v>
      </c>
      <c r="E8" s="5">
        <v>1000</v>
      </c>
      <c r="H8" s="6">
        <v>45778</v>
      </c>
      <c r="I8" s="5">
        <v>1000</v>
      </c>
    </row>
    <row r="9" spans="1:9" x14ac:dyDescent="0.25">
      <c r="A9" s="4" t="s">
        <v>2</v>
      </c>
      <c r="B9" s="5">
        <v>4500</v>
      </c>
      <c r="D9" s="4" t="s">
        <v>46</v>
      </c>
      <c r="E9" s="5">
        <v>1000</v>
      </c>
      <c r="H9" s="6">
        <v>45809</v>
      </c>
      <c r="I9" s="5">
        <v>1000</v>
      </c>
    </row>
    <row r="10" spans="1:9" x14ac:dyDescent="0.25">
      <c r="A10" s="4" t="s">
        <v>12</v>
      </c>
      <c r="B10" s="5">
        <v>40000</v>
      </c>
      <c r="D10" s="4" t="s">
        <v>47</v>
      </c>
      <c r="E10" s="5">
        <v>2000</v>
      </c>
      <c r="H10" s="6">
        <v>45839</v>
      </c>
      <c r="I10" s="5">
        <v>2000</v>
      </c>
    </row>
    <row r="11" spans="1:9" x14ac:dyDescent="0.25">
      <c r="A11" s="4" t="s">
        <v>6</v>
      </c>
      <c r="B11" s="5">
        <v>2000</v>
      </c>
      <c r="D11" s="4" t="s">
        <v>41</v>
      </c>
      <c r="E11" s="5">
        <v>1500</v>
      </c>
      <c r="H11" s="6">
        <v>45870</v>
      </c>
      <c r="I11" s="5">
        <v>1500</v>
      </c>
    </row>
    <row r="12" spans="1:9" x14ac:dyDescent="0.25">
      <c r="A12" s="4" t="s">
        <v>7</v>
      </c>
      <c r="B12" s="5">
        <v>2000</v>
      </c>
      <c r="D12" s="4" t="s">
        <v>48</v>
      </c>
      <c r="E12" s="5">
        <v>700</v>
      </c>
      <c r="H12" s="6">
        <v>45901</v>
      </c>
      <c r="I12" s="5">
        <v>700</v>
      </c>
    </row>
    <row r="13" spans="1:9" x14ac:dyDescent="0.25">
      <c r="A13" s="4" t="s">
        <v>4</v>
      </c>
      <c r="B13" s="5">
        <v>500</v>
      </c>
      <c r="D13" s="4" t="s">
        <v>43</v>
      </c>
      <c r="E13" s="5">
        <v>900</v>
      </c>
      <c r="H13" s="6">
        <v>45931</v>
      </c>
      <c r="I13" s="5">
        <v>900</v>
      </c>
    </row>
    <row r="14" spans="1:9" x14ac:dyDescent="0.25">
      <c r="A14" s="4" t="s">
        <v>9</v>
      </c>
      <c r="B14" s="5">
        <v>700</v>
      </c>
      <c r="D14" s="4" t="s">
        <v>42</v>
      </c>
      <c r="E14" s="5">
        <v>6000</v>
      </c>
      <c r="H14" s="6">
        <v>45962</v>
      </c>
      <c r="I14" s="5">
        <v>6000</v>
      </c>
    </row>
    <row r="15" spans="1:9" x14ac:dyDescent="0.25">
      <c r="A15" s="4" t="s">
        <v>39</v>
      </c>
      <c r="B15" s="5">
        <v>60100</v>
      </c>
      <c r="D15" s="4" t="s">
        <v>44</v>
      </c>
      <c r="E15" s="5">
        <v>40000</v>
      </c>
      <c r="H15" s="6">
        <v>45992</v>
      </c>
      <c r="I15" s="5">
        <v>40000</v>
      </c>
    </row>
    <row r="16" spans="1:9" x14ac:dyDescent="0.25">
      <c r="D16" s="4" t="s">
        <v>39</v>
      </c>
      <c r="E16" s="5">
        <v>60100</v>
      </c>
      <c r="H16" s="6" t="s">
        <v>39</v>
      </c>
      <c r="I16" s="5">
        <v>60100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77" zoomScaleNormal="77" workbookViewId="0">
      <selection activeCell="O12" sqref="O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sqref="A1:F13"/>
    </sheetView>
  </sheetViews>
  <sheetFormatPr defaultRowHeight="15" x14ac:dyDescent="0.25"/>
  <cols>
    <col min="1" max="1" width="10.42578125" bestFit="1" customWidth="1"/>
    <col min="2" max="2" width="14" customWidth="1"/>
    <col min="4" max="4" width="17" customWidth="1"/>
    <col min="5" max="5" width="14.7109375" customWidth="1"/>
    <col min="6" max="6" width="12.28515625" customWidth="1"/>
  </cols>
  <sheetData>
    <row r="1" spans="1:6" x14ac:dyDescent="0.25">
      <c r="A1" t="s">
        <v>0</v>
      </c>
      <c r="B1" t="s">
        <v>1</v>
      </c>
      <c r="C1" t="s">
        <v>13</v>
      </c>
      <c r="D1" t="s">
        <v>16</v>
      </c>
      <c r="E1" t="s">
        <v>29</v>
      </c>
      <c r="F1" t="s">
        <v>30</v>
      </c>
    </row>
    <row r="2" spans="1:6" x14ac:dyDescent="0.25">
      <c r="A2" s="1">
        <v>45658</v>
      </c>
      <c r="B2" t="s">
        <v>2</v>
      </c>
      <c r="C2" t="s">
        <v>14</v>
      </c>
      <c r="D2" t="s">
        <v>17</v>
      </c>
      <c r="E2">
        <v>4500</v>
      </c>
      <c r="F2" t="str">
        <f>TEXT(A2,"mmmm")</f>
        <v>January</v>
      </c>
    </row>
    <row r="3" spans="1:6" x14ac:dyDescent="0.25">
      <c r="A3" s="1">
        <v>45689</v>
      </c>
      <c r="B3" t="s">
        <v>3</v>
      </c>
      <c r="C3" t="s">
        <v>14</v>
      </c>
      <c r="D3" t="s">
        <v>18</v>
      </c>
      <c r="E3">
        <v>1500</v>
      </c>
      <c r="F3" t="str">
        <f t="shared" ref="F3:F13" si="0">TEXT(A3,"mmmm")</f>
        <v>February</v>
      </c>
    </row>
    <row r="4" spans="1:6" x14ac:dyDescent="0.25">
      <c r="A4" s="1">
        <v>45717</v>
      </c>
      <c r="B4" t="s">
        <v>4</v>
      </c>
      <c r="C4" t="s">
        <v>14</v>
      </c>
      <c r="D4" t="s">
        <v>19</v>
      </c>
      <c r="E4">
        <v>500</v>
      </c>
      <c r="F4" t="str">
        <f t="shared" si="0"/>
        <v>March</v>
      </c>
    </row>
    <row r="5" spans="1:6" x14ac:dyDescent="0.25">
      <c r="A5" s="1">
        <v>45748</v>
      </c>
      <c r="B5" t="s">
        <v>5</v>
      </c>
      <c r="C5" t="s">
        <v>14</v>
      </c>
      <c r="D5" t="s">
        <v>20</v>
      </c>
      <c r="E5">
        <v>500</v>
      </c>
      <c r="F5" t="str">
        <f t="shared" si="0"/>
        <v>April</v>
      </c>
    </row>
    <row r="6" spans="1:6" x14ac:dyDescent="0.25">
      <c r="A6" s="1">
        <v>45778</v>
      </c>
      <c r="B6" t="s">
        <v>6</v>
      </c>
      <c r="C6" t="s">
        <v>6</v>
      </c>
      <c r="D6" t="s">
        <v>21</v>
      </c>
      <c r="E6">
        <v>1000</v>
      </c>
      <c r="F6" t="str">
        <f t="shared" si="0"/>
        <v>May</v>
      </c>
    </row>
    <row r="7" spans="1:6" x14ac:dyDescent="0.25">
      <c r="A7" s="1">
        <v>45809</v>
      </c>
      <c r="B7" t="s">
        <v>6</v>
      </c>
      <c r="C7" t="s">
        <v>6</v>
      </c>
      <c r="D7" t="s">
        <v>22</v>
      </c>
      <c r="E7">
        <v>1000</v>
      </c>
      <c r="F7" t="str">
        <f t="shared" si="0"/>
        <v>June</v>
      </c>
    </row>
    <row r="8" spans="1:6" x14ac:dyDescent="0.25">
      <c r="A8" s="1">
        <v>45839</v>
      </c>
      <c r="B8" t="s">
        <v>7</v>
      </c>
      <c r="C8" t="s">
        <v>14</v>
      </c>
      <c r="D8" t="s">
        <v>23</v>
      </c>
      <c r="E8">
        <v>2000</v>
      </c>
      <c r="F8" t="str">
        <f t="shared" si="0"/>
        <v>July</v>
      </c>
    </row>
    <row r="9" spans="1:6" x14ac:dyDescent="0.25">
      <c r="A9" s="1">
        <v>45870</v>
      </c>
      <c r="B9" t="s">
        <v>8</v>
      </c>
      <c r="C9" t="s">
        <v>14</v>
      </c>
      <c r="D9" t="s">
        <v>24</v>
      </c>
      <c r="E9">
        <v>1500</v>
      </c>
      <c r="F9" t="str">
        <f t="shared" si="0"/>
        <v>August</v>
      </c>
    </row>
    <row r="10" spans="1:6" x14ac:dyDescent="0.25">
      <c r="A10" s="1">
        <v>45901</v>
      </c>
      <c r="B10" t="s">
        <v>9</v>
      </c>
      <c r="C10" t="s">
        <v>14</v>
      </c>
      <c r="D10" t="s">
        <v>25</v>
      </c>
      <c r="E10">
        <v>700</v>
      </c>
      <c r="F10" t="str">
        <f t="shared" si="0"/>
        <v>September</v>
      </c>
    </row>
    <row r="11" spans="1:6" x14ac:dyDescent="0.25">
      <c r="A11" s="1">
        <v>45931</v>
      </c>
      <c r="B11" t="s">
        <v>10</v>
      </c>
      <c r="C11" t="s">
        <v>14</v>
      </c>
      <c r="D11" t="s">
        <v>26</v>
      </c>
      <c r="E11">
        <v>900</v>
      </c>
      <c r="F11" t="str">
        <f t="shared" si="0"/>
        <v>October</v>
      </c>
    </row>
    <row r="12" spans="1:6" x14ac:dyDescent="0.25">
      <c r="A12" s="1">
        <v>45962</v>
      </c>
      <c r="B12" t="s">
        <v>11</v>
      </c>
      <c r="C12" t="s">
        <v>15</v>
      </c>
      <c r="D12" t="s">
        <v>27</v>
      </c>
      <c r="E12">
        <v>6000</v>
      </c>
      <c r="F12" t="str">
        <f t="shared" si="0"/>
        <v>November</v>
      </c>
    </row>
    <row r="13" spans="1:6" x14ac:dyDescent="0.25">
      <c r="A13" s="1">
        <v>45992</v>
      </c>
      <c r="B13" t="s">
        <v>12</v>
      </c>
      <c r="C13" t="s">
        <v>15</v>
      </c>
      <c r="D13" t="s">
        <v>28</v>
      </c>
      <c r="E13">
        <v>40000</v>
      </c>
      <c r="F13" t="str">
        <f t="shared" si="0"/>
        <v>December</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A11" sqref="A9:A11"/>
    </sheetView>
  </sheetViews>
  <sheetFormatPr defaultRowHeight="15" x14ac:dyDescent="0.25"/>
  <cols>
    <col min="1" max="1" width="17" customWidth="1"/>
    <col min="2" max="2" width="16.140625" customWidth="1"/>
    <col min="3" max="3" width="13.28515625" customWidth="1"/>
    <col min="4" max="5" width="10.42578125" customWidth="1"/>
    <col min="6" max="6" width="10.42578125" bestFit="1" customWidth="1"/>
  </cols>
  <sheetData>
    <row r="1" spans="1:6" x14ac:dyDescent="0.25">
      <c r="A1" t="s">
        <v>1</v>
      </c>
      <c r="B1" t="s">
        <v>31</v>
      </c>
      <c r="C1" t="s">
        <v>32</v>
      </c>
      <c r="D1" t="s">
        <v>33</v>
      </c>
      <c r="E1" t="s">
        <v>30</v>
      </c>
      <c r="F1" t="s">
        <v>0</v>
      </c>
    </row>
    <row r="2" spans="1:6" x14ac:dyDescent="0.25">
      <c r="A2" t="s">
        <v>2</v>
      </c>
      <c r="B2">
        <v>1000</v>
      </c>
      <c r="C2">
        <v>500</v>
      </c>
      <c r="D2">
        <f>B2-C2</f>
        <v>500</v>
      </c>
      <c r="E2" t="str">
        <f>+TEXT(F2,"mmmm")</f>
        <v>January</v>
      </c>
      <c r="F2" s="1">
        <v>45658</v>
      </c>
    </row>
    <row r="3" spans="1:6" x14ac:dyDescent="0.25">
      <c r="A3" t="s">
        <v>3</v>
      </c>
      <c r="B3">
        <v>500</v>
      </c>
      <c r="C3">
        <v>250</v>
      </c>
      <c r="D3">
        <f t="shared" ref="D3:D13" si="0">B3-C3</f>
        <v>250</v>
      </c>
      <c r="E3" t="str">
        <f t="shared" ref="E3:E13" si="1">+TEXT(F3,"mmmm")</f>
        <v>February</v>
      </c>
      <c r="F3" s="2">
        <v>45689</v>
      </c>
    </row>
    <row r="4" spans="1:6" x14ac:dyDescent="0.25">
      <c r="A4" t="s">
        <v>4</v>
      </c>
      <c r="B4">
        <v>200</v>
      </c>
      <c r="C4">
        <v>150</v>
      </c>
      <c r="D4">
        <f t="shared" si="0"/>
        <v>50</v>
      </c>
      <c r="E4" t="str">
        <f t="shared" si="1"/>
        <v>March</v>
      </c>
      <c r="F4" s="1">
        <v>45717</v>
      </c>
    </row>
    <row r="5" spans="1:6" x14ac:dyDescent="0.25">
      <c r="A5" t="s">
        <v>5</v>
      </c>
      <c r="B5">
        <v>150</v>
      </c>
      <c r="C5">
        <v>100</v>
      </c>
      <c r="D5">
        <f t="shared" si="0"/>
        <v>50</v>
      </c>
      <c r="E5" t="str">
        <f t="shared" si="1"/>
        <v>April</v>
      </c>
      <c r="F5" s="1">
        <v>45748</v>
      </c>
    </row>
    <row r="6" spans="1:6" x14ac:dyDescent="0.25">
      <c r="A6" t="s">
        <v>6</v>
      </c>
      <c r="B6">
        <v>300</v>
      </c>
      <c r="C6">
        <v>300</v>
      </c>
      <c r="D6">
        <f t="shared" si="0"/>
        <v>0</v>
      </c>
      <c r="E6" t="str">
        <f t="shared" si="1"/>
        <v>May</v>
      </c>
      <c r="F6" s="1">
        <v>45778</v>
      </c>
    </row>
    <row r="7" spans="1:6" x14ac:dyDescent="0.25">
      <c r="A7" t="s">
        <v>6</v>
      </c>
      <c r="B7">
        <v>500</v>
      </c>
      <c r="C7">
        <v>450</v>
      </c>
      <c r="D7">
        <f t="shared" si="0"/>
        <v>50</v>
      </c>
      <c r="E7" t="str">
        <f t="shared" si="1"/>
        <v>June</v>
      </c>
      <c r="F7" s="1">
        <v>45809</v>
      </c>
    </row>
    <row r="8" spans="1:6" x14ac:dyDescent="0.25">
      <c r="A8" t="s">
        <v>7</v>
      </c>
      <c r="B8">
        <v>400</v>
      </c>
      <c r="C8">
        <v>300</v>
      </c>
      <c r="D8">
        <f t="shared" si="0"/>
        <v>100</v>
      </c>
      <c r="E8" t="str">
        <f t="shared" si="1"/>
        <v>July</v>
      </c>
      <c r="F8" s="1">
        <v>45839</v>
      </c>
    </row>
    <row r="9" spans="1:6" x14ac:dyDescent="0.25">
      <c r="A9" t="s">
        <v>8</v>
      </c>
      <c r="B9">
        <v>900</v>
      </c>
      <c r="C9">
        <v>700</v>
      </c>
      <c r="D9">
        <f t="shared" si="0"/>
        <v>200</v>
      </c>
      <c r="E9" t="str">
        <f t="shared" si="1"/>
        <v>August</v>
      </c>
      <c r="F9" s="1">
        <v>45870</v>
      </c>
    </row>
    <row r="10" spans="1:6" x14ac:dyDescent="0.25">
      <c r="A10" t="s">
        <v>9</v>
      </c>
      <c r="B10">
        <v>400</v>
      </c>
      <c r="C10">
        <v>350</v>
      </c>
      <c r="D10">
        <f t="shared" si="0"/>
        <v>50</v>
      </c>
      <c r="E10" t="str">
        <f t="shared" si="1"/>
        <v>September</v>
      </c>
      <c r="F10" s="1">
        <v>45901</v>
      </c>
    </row>
    <row r="11" spans="1:6" x14ac:dyDescent="0.25">
      <c r="A11" t="s">
        <v>10</v>
      </c>
      <c r="B11">
        <v>650</v>
      </c>
      <c r="C11">
        <v>550</v>
      </c>
      <c r="D11">
        <f t="shared" si="0"/>
        <v>100</v>
      </c>
      <c r="E11" t="str">
        <f t="shared" si="1"/>
        <v>October</v>
      </c>
      <c r="F11" s="1">
        <v>45931</v>
      </c>
    </row>
    <row r="12" spans="1:6" x14ac:dyDescent="0.25">
      <c r="A12" t="s">
        <v>11</v>
      </c>
      <c r="B12">
        <v>800</v>
      </c>
      <c r="C12">
        <v>730</v>
      </c>
      <c r="D12">
        <f t="shared" si="0"/>
        <v>70</v>
      </c>
      <c r="E12" t="str">
        <f t="shared" si="1"/>
        <v>November</v>
      </c>
      <c r="F12" s="1">
        <v>45962</v>
      </c>
    </row>
    <row r="13" spans="1:6" x14ac:dyDescent="0.25">
      <c r="A13" t="s">
        <v>12</v>
      </c>
      <c r="B13">
        <v>3000</v>
      </c>
      <c r="C13">
        <v>2500</v>
      </c>
      <c r="D13">
        <f t="shared" si="0"/>
        <v>500</v>
      </c>
      <c r="E13" t="str">
        <f t="shared" si="1"/>
        <v>December</v>
      </c>
      <c r="F13" s="1">
        <v>45992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Sheet4</vt: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2026-01-21T05:50:34Z</dcterms:created>
  <dcterms:modified xsi:type="dcterms:W3CDTF">2026-01-21T07:11:40Z</dcterms:modified>
</cp:coreProperties>
</file>